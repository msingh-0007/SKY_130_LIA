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<sst xmlns="http://schemas.openxmlformats.org/spreadsheetml/2006/main" count="579" uniqueCount="433">
  <si>
    <t>LOW</t>
  </si>
  <si>
    <t>NOM</t>
  </si>
  <si>
    <t>HIGH</t>
  </si>
  <si>
    <t>Comments:</t>
  </si>
  <si>
    <t xml:space="preserve">TEMPERATURES ARE -20C, 27C, 100C; VOLTAGES ARE 2.25V, 2.5V, 2.75V </t>
  </si>
  <si>
    <t>ALL SIMULATIONS START FROM NOMINAL TEMP:27C VOLTAGE 2.5V</t>
  </si>
  <si>
    <t>BMR Ibias @ 2.5V:</t>
  </si>
  <si>
    <t>Bias is meant to be a 1uA current source, using a 50Kohm Biasing Resistor</t>
  </si>
  <si>
    <t xml:space="preserve"> TT</t>
  </si>
  <si>
    <t>977.18nA</t>
  </si>
  <si>
    <t>1.2318uA</t>
  </si>
  <si>
    <t>1.664uA</t>
  </si>
  <si>
    <t>FF</t>
  </si>
  <si>
    <t>879nA</t>
  </si>
  <si>
    <t>1.11uA</t>
  </si>
  <si>
    <t>1.52uA</t>
  </si>
  <si>
    <t>SS</t>
  </si>
  <si>
    <t>1.09uA</t>
  </si>
  <si>
    <t>1.36uA</t>
  </si>
  <si>
    <t>1.83uA</t>
  </si>
  <si>
    <t>BMR DI/DT Ibias Vdd:</t>
  </si>
  <si>
    <t>How much does the Current change per change in Voltage Source</t>
  </si>
  <si>
    <t>TT</t>
  </si>
  <si>
    <t>189.08nA/V</t>
  </si>
  <si>
    <t>216nA/V</t>
  </si>
  <si>
    <t>261nA/V</t>
  </si>
  <si>
    <t>180nA/V</t>
  </si>
  <si>
    <t>205nA/V</t>
  </si>
  <si>
    <t>247nA/V</t>
  </si>
  <si>
    <t>201nA/V</t>
  </si>
  <si>
    <t>228nA/V</t>
  </si>
  <si>
    <t>278nA/V</t>
  </si>
  <si>
    <t>OP AMP OL Gain:</t>
  </si>
  <si>
    <t xml:space="preserve">OP AMP uses a 1pF Capacitor Load; </t>
  </si>
  <si>
    <t>81.67dB</t>
  </si>
  <si>
    <t>83.7dB</t>
  </si>
  <si>
    <t>84.73dB</t>
  </si>
  <si>
    <t>81.53dB</t>
  </si>
  <si>
    <t>83.61dB</t>
  </si>
  <si>
    <t>84.63dB</t>
  </si>
  <si>
    <t>83.73dB</t>
  </si>
  <si>
    <t>84.67dB</t>
  </si>
  <si>
    <t>OP AMP UGW:</t>
  </si>
  <si>
    <t>1.47MHz</t>
  </si>
  <si>
    <t>1.7194MHz</t>
  </si>
  <si>
    <t>1.97MHz</t>
  </si>
  <si>
    <t>1.332MHz</t>
  </si>
  <si>
    <t>1.5194MHz</t>
  </si>
  <si>
    <t>1.7926MHz</t>
  </si>
  <si>
    <t>1.6555MHz</t>
  </si>
  <si>
    <t>1.8575MHz</t>
  </si>
  <si>
    <t>2.1187MHz</t>
  </si>
  <si>
    <t>OP AMP PM degrees:</t>
  </si>
  <si>
    <t>Monte Carlo Sims</t>
  </si>
  <si>
    <t>BMR Currents:</t>
  </si>
  <si>
    <t>MC Sims are quite extensive; so only the most critical of data shall recieve</t>
  </si>
  <si>
    <t>OP AMP OFFSET:</t>
  </si>
  <si>
    <t>331uV</t>
  </si>
  <si>
    <t>338uV</t>
  </si>
  <si>
    <t>594uV</t>
  </si>
  <si>
    <t>241uV</t>
  </si>
  <si>
    <t>377uV</t>
  </si>
  <si>
    <t>651uV</t>
  </si>
  <si>
    <t>291uV</t>
  </si>
  <si>
    <t>297uV</t>
  </si>
  <si>
    <t>536uV</t>
  </si>
  <si>
    <t>OP AMP NOISE 1Hz:</t>
  </si>
  <si>
    <t>3.46uV/sqrt(Hz)</t>
  </si>
  <si>
    <t>3.56uV/sqrt(Hz)</t>
  </si>
  <si>
    <t>3.67uV/sqrt(Hz)</t>
  </si>
  <si>
    <t>3.52uV/sqrt(Hz)</t>
  </si>
  <si>
    <t>3.62uV/sqrt(Hz)</t>
  </si>
  <si>
    <t>3.74uV/sqrt(Hz)</t>
  </si>
  <si>
    <t>3.39uV/sqrt(Hz)</t>
  </si>
  <si>
    <t>3.48uV/sqrt(Hz)</t>
  </si>
  <si>
    <t>3.59uV/sqrt(Hz)</t>
  </si>
  <si>
    <t>OP AMP NOISE 1kHz:</t>
  </si>
  <si>
    <t>167nV/sqrt(Hz)</t>
  </si>
  <si>
    <t>171nV/sqrt(Hz)</t>
  </si>
  <si>
    <t>178nV/sqrt(Hz)</t>
  </si>
  <si>
    <t>176nV/sqrt(Hz)</t>
  </si>
  <si>
    <t>182nV/sqrt(Hz)</t>
  </si>
  <si>
    <t>163nV/sqrt(Hz)</t>
  </si>
  <si>
    <t>168nV/sqrt(Hz)</t>
  </si>
  <si>
    <t>173nV/sqrt(Hz)</t>
  </si>
  <si>
    <t>OP AMP NOISE INPUT TOTAL:</t>
  </si>
  <si>
    <t>0.412mVrms</t>
  </si>
  <si>
    <t>0.449mVrms</t>
  </si>
  <si>
    <t>0.5007mVrms</t>
  </si>
  <si>
    <t>INTEGRATED NOISE FOR A 30MHz BW</t>
  </si>
  <si>
    <t>0.4189mVrms</t>
  </si>
  <si>
    <t>0.455mVrms</t>
  </si>
  <si>
    <t>0.506mVrms</t>
  </si>
  <si>
    <t>0.4057mVrms</t>
  </si>
  <si>
    <t>0.443mVrms</t>
  </si>
  <si>
    <t>0.4947mVrms</t>
  </si>
  <si>
    <t>OP AMP NOISE OUTPUT TOTAL:</t>
  </si>
  <si>
    <t>0.1978mVrms</t>
  </si>
  <si>
    <t>0.223mVrms</t>
  </si>
  <si>
    <t>0.2615mVrms</t>
  </si>
  <si>
    <t>0.1976mVrms</t>
  </si>
  <si>
    <t>0.2226mVrms</t>
  </si>
  <si>
    <t>0.2597mVrms</t>
  </si>
  <si>
    <t>0.198mVrms</t>
  </si>
  <si>
    <t>0.224mVrms</t>
  </si>
  <si>
    <t>0.2633mVrms</t>
  </si>
  <si>
    <t>FDA DIFF OL Gain:</t>
  </si>
  <si>
    <t>79.45dB</t>
  </si>
  <si>
    <t>83.71dB</t>
  </si>
  <si>
    <t>86.37dB</t>
  </si>
  <si>
    <t>79.46dB</t>
  </si>
  <si>
    <t>83.62dB</t>
  </si>
  <si>
    <t>86.23dB</t>
  </si>
  <si>
    <t>79.36dB</t>
  </si>
  <si>
    <t>83.74dB</t>
  </si>
  <si>
    <t>86.45dB</t>
  </si>
  <si>
    <t>FDA DIFF UGW:</t>
  </si>
  <si>
    <t>1.6126MHz</t>
  </si>
  <si>
    <t>1.8769MHz</t>
  </si>
  <si>
    <t>2.196MHz</t>
  </si>
  <si>
    <t>1.4582MHz</t>
  </si>
  <si>
    <t>1.7136MHz</t>
  </si>
  <si>
    <t>2.034MHz</t>
  </si>
  <si>
    <t>1.7763MHz</t>
  </si>
  <si>
    <t>2.052MHz</t>
  </si>
  <si>
    <t>2.3868MHz</t>
  </si>
  <si>
    <t>FDA DIFF PM:</t>
  </si>
  <si>
    <t>FDA CM OL Gain:</t>
  </si>
  <si>
    <t>51.133dB</t>
  </si>
  <si>
    <t>51.56dB</t>
  </si>
  <si>
    <t>51.896dB</t>
  </si>
  <si>
    <t>50.96dB</t>
  </si>
  <si>
    <t>51.37dB</t>
  </si>
  <si>
    <t>51.702dB</t>
  </si>
  <si>
    <t>51.28dB</t>
  </si>
  <si>
    <t>51.74dB</t>
  </si>
  <si>
    <t>52.088dB</t>
  </si>
  <si>
    <t>FDA CM UGW:</t>
  </si>
  <si>
    <t>701kHz</t>
  </si>
  <si>
    <t>797kHz</t>
  </si>
  <si>
    <t>908.56kHz</t>
  </si>
  <si>
    <t>630kHz</t>
  </si>
  <si>
    <t>723kHz</t>
  </si>
  <si>
    <t>830.64kHz</t>
  </si>
  <si>
    <t>776.52kHz</t>
  </si>
  <si>
    <t>876.14kHz</t>
  </si>
  <si>
    <t>992.62kHz</t>
  </si>
  <si>
    <t>FDA CM PM:</t>
  </si>
  <si>
    <t>FDA Offset:</t>
  </si>
  <si>
    <t>508uV</t>
  </si>
  <si>
    <t>631uV</t>
  </si>
  <si>
    <t>847uV</t>
  </si>
  <si>
    <t>563uV</t>
  </si>
  <si>
    <t>704uV</t>
  </si>
  <si>
    <t>954uV</t>
  </si>
  <si>
    <t>454uV</t>
  </si>
  <si>
    <t>558uV</t>
  </si>
  <si>
    <t>742uV</t>
  </si>
  <si>
    <t>FDA NOISE 1Hz:</t>
  </si>
  <si>
    <t>6.93uV/sqrt(Hz)</t>
  </si>
  <si>
    <t>7.13uV/sqrt(Hz)</t>
  </si>
  <si>
    <t>7.38uV/sqrt(Hz)</t>
  </si>
  <si>
    <t>7.07uV/sqrt(Hz)</t>
  </si>
  <si>
    <t>7.29uV/sqrt(Hz)</t>
  </si>
  <si>
    <t>7.54uV/sqrt(Hz)</t>
  </si>
  <si>
    <t>6.80uV/sqrt(Hz)</t>
  </si>
  <si>
    <t>6.99uV/sqrt(Hz)</t>
  </si>
  <si>
    <t>7.21uV/sqrt(Hz)</t>
  </si>
  <si>
    <t>FDA NOISE 1kHz:</t>
  </si>
  <si>
    <t>335nV/sqrt(Hz)</t>
  </si>
  <si>
    <t>346nV/sqrt(Hz)</t>
  </si>
  <si>
    <t>358nV/sqrt(Hz)</t>
  </si>
  <si>
    <t>343nV/sqrt(Hz)</t>
  </si>
  <si>
    <t>354nV/sqrt(Hz)</t>
  </si>
  <si>
    <t>368nV/sqrt(Hz)</t>
  </si>
  <si>
    <t>327nV/sqrt(Hz)</t>
  </si>
  <si>
    <t>337nV/sqrt(Hz)</t>
  </si>
  <si>
    <t>349nV/sqrt(Hz)</t>
  </si>
  <si>
    <t>FDA NOISE INPUT TOTAL:</t>
  </si>
  <si>
    <t>789.69uVrms</t>
  </si>
  <si>
    <t>863.72uVrms</t>
  </si>
  <si>
    <t>970.84uVrms</t>
  </si>
  <si>
    <t>797.12uVrms</t>
  </si>
  <si>
    <t>874.16uVrms</t>
  </si>
  <si>
    <t>981.83uVrms</t>
  </si>
  <si>
    <t>775.42uVrms</t>
  </si>
  <si>
    <t>852.15uVrms</t>
  </si>
  <si>
    <t>958.54uVrms</t>
  </si>
  <si>
    <t>FDA NOISE OUTPUT TOTAL:</t>
  </si>
  <si>
    <t>204.46uVrms</t>
  </si>
  <si>
    <t>225.30uVrms</t>
  </si>
  <si>
    <t>255.79uVrms</t>
  </si>
  <si>
    <t>225.16uVrms</t>
  </si>
  <si>
    <t>255.26uVrms</t>
  </si>
  <si>
    <t>204.33uVrms</t>
  </si>
  <si>
    <t>225.43uVrms</t>
  </si>
  <si>
    <t>256.31uVrms</t>
  </si>
  <si>
    <t>SCHMITT VTHIGH</t>
  </si>
  <si>
    <t>123.63mV</t>
  </si>
  <si>
    <t>168.17mV</t>
  </si>
  <si>
    <t>243.19mV</t>
  </si>
  <si>
    <t>125.34mV</t>
  </si>
  <si>
    <t>172.91mV</t>
  </si>
  <si>
    <t>250.24mV</t>
  </si>
  <si>
    <t>142.29mV</t>
  </si>
  <si>
    <t>164.57mV</t>
  </si>
  <si>
    <t>236.89mV</t>
  </si>
  <si>
    <t>SCHMITT VTLOW</t>
  </si>
  <si>
    <t>-245.59mV</t>
  </si>
  <si>
    <t>-203.29mV</t>
  </si>
  <si>
    <t>-131.03mV</t>
  </si>
  <si>
    <t>-235.45mV</t>
  </si>
  <si>
    <t>-192.86mV</t>
  </si>
  <si>
    <t>-119.41mV</t>
  </si>
  <si>
    <t>-255.15mV</t>
  </si>
  <si>
    <t>-212.90mV</t>
  </si>
  <si>
    <t>-141.37mV</t>
  </si>
  <si>
    <t>CLK SLEW RISE</t>
  </si>
  <si>
    <t>647.67ps</t>
  </si>
  <si>
    <t>787.87ps</t>
  </si>
  <si>
    <t>978.10ps</t>
  </si>
  <si>
    <t>639.49ps</t>
  </si>
  <si>
    <t>778.61ps</t>
  </si>
  <si>
    <t>967.79ps</t>
  </si>
  <si>
    <t>666.70ps</t>
  </si>
  <si>
    <t>801.39ps</t>
  </si>
  <si>
    <t>1.016ns</t>
  </si>
  <si>
    <t>CLK SLEW FALL</t>
  </si>
  <si>
    <t>958.40ps</t>
  </si>
  <si>
    <t>1.198ns</t>
  </si>
  <si>
    <t>1.478ns</t>
  </si>
  <si>
    <t>917.89ps</t>
  </si>
  <si>
    <t>1.191ns</t>
  </si>
  <si>
    <t>1.463ns</t>
  </si>
  <si>
    <t>1.027ns</t>
  </si>
  <si>
    <t>1.208ns</t>
  </si>
  <si>
    <t>1.513ns</t>
  </si>
  <si>
    <t>CLK SKEW RISE</t>
  </si>
  <si>
    <t>-7.704ps</t>
  </si>
  <si>
    <t>-7.145ps</t>
  </si>
  <si>
    <t>8.209ps</t>
  </si>
  <si>
    <t>-7.599ps</t>
  </si>
  <si>
    <t>-7.506ps</t>
  </si>
  <si>
    <t>8.351ps</t>
  </si>
  <si>
    <t>-9.0715ps</t>
  </si>
  <si>
    <t>-7.446ps</t>
  </si>
  <si>
    <t>8.882ps</t>
  </si>
  <si>
    <t>CLK SKEW RISE MAG</t>
  </si>
  <si>
    <t>5.521ps</t>
  </si>
  <si>
    <t>7.145ps</t>
  </si>
  <si>
    <t>5.318ps</t>
  </si>
  <si>
    <t>6.496ps</t>
  </si>
  <si>
    <t>7.446ps</t>
  </si>
  <si>
    <t>9.0715ps</t>
  </si>
  <si>
    <t>CLK SKEW FALL</t>
  </si>
  <si>
    <t>-3.957ps</t>
  </si>
  <si>
    <t>-3.8419ps</t>
  </si>
  <si>
    <t>4.224ps</t>
  </si>
  <si>
    <t>-4.1443ps</t>
  </si>
  <si>
    <t>-4.0006ps</t>
  </si>
  <si>
    <t>4.5478ps</t>
  </si>
  <si>
    <t>-5.2001ps</t>
  </si>
  <si>
    <t>-3.8168ps</t>
  </si>
  <si>
    <t>3.9332ps</t>
  </si>
  <si>
    <t>CLK SKEW FALL MAG</t>
  </si>
  <si>
    <t>2.026ps</t>
  </si>
  <si>
    <t>3.8419ps</t>
  </si>
  <si>
    <t>2.6379ps</t>
  </si>
  <si>
    <t>4.0006ps</t>
  </si>
  <si>
    <t>2.7865ps</t>
  </si>
  <si>
    <t>3.8168ps</t>
  </si>
  <si>
    <t>5.2001ps</t>
  </si>
  <si>
    <t>INVERTER CHAIN DELAY D1_D2</t>
  </si>
  <si>
    <t>These are before when I added 0.5pF at the end of both Inverter Chains; both to ensure</t>
  </si>
  <si>
    <t>453.91ps</t>
  </si>
  <si>
    <t>549.91ps</t>
  </si>
  <si>
    <t>713.15ps</t>
  </si>
  <si>
    <t>Hold Time windows are met; as well as dealing with high switching spikes</t>
  </si>
  <si>
    <t>435.19ps</t>
  </si>
  <si>
    <t>524.38ps</t>
  </si>
  <si>
    <t>676.52ps</t>
  </si>
  <si>
    <t>474.89ps</t>
  </si>
  <si>
    <t>578.17ps</t>
  </si>
  <si>
    <t>753.44ps</t>
  </si>
  <si>
    <t>INVERTER CHAIN DELAY D2_D1</t>
  </si>
  <si>
    <t>441.28ps</t>
  </si>
  <si>
    <t>534.52ps</t>
  </si>
  <si>
    <t>692.67ps</t>
  </si>
  <si>
    <t>422.47ps</t>
  </si>
  <si>
    <t>509.08ps</t>
  </si>
  <si>
    <t>656.04ps</t>
  </si>
  <si>
    <t>462.32ps</t>
  </si>
  <si>
    <t>562.81ps</t>
  </si>
  <si>
    <t>733.08ps</t>
  </si>
  <si>
    <t>GMC LPF Cutoff</t>
  </si>
  <si>
    <t>12.79Hz</t>
  </si>
  <si>
    <t>64.6Hz</t>
  </si>
  <si>
    <t>455.24Hz</t>
  </si>
  <si>
    <t>Vc~1.1V Vgc~0.4V</t>
  </si>
  <si>
    <t>11.64Hz</t>
  </si>
  <si>
    <t>58.16Hz</t>
  </si>
  <si>
    <t>398.32Hz</t>
  </si>
  <si>
    <t>GMC LPF Offset</t>
  </si>
  <si>
    <t>14.23Hz</t>
  </si>
  <si>
    <t>72.81Hz</t>
  </si>
  <si>
    <t>528.49Hz</t>
  </si>
  <si>
    <t>9.026mV</t>
  </si>
  <si>
    <t>10.169mV</t>
  </si>
  <si>
    <t>13.62mV</t>
  </si>
  <si>
    <t>10.422mV</t>
  </si>
  <si>
    <t>11.737mV</t>
  </si>
  <si>
    <t>16.515mV</t>
  </si>
  <si>
    <t>1.713Hz</t>
  </si>
  <si>
    <t>10.891Hz</t>
  </si>
  <si>
    <t>101.91Hz</t>
  </si>
  <si>
    <t>Vc~1.1V Vgc~0.5V</t>
  </si>
  <si>
    <t>7.922mV</t>
  </si>
  <si>
    <t>8.906mV</t>
  </si>
  <si>
    <t>11.454mV</t>
  </si>
  <si>
    <t>1.006Hz</t>
  </si>
  <si>
    <t>9.731Hz</t>
  </si>
  <si>
    <t>88.97Hz</t>
  </si>
  <si>
    <t>1.879Hz</t>
  </si>
  <si>
    <t>12.34Hz</t>
  </si>
  <si>
    <t>118.61Hz</t>
  </si>
  <si>
    <t>10.02mV</t>
  </si>
  <si>
    <t>12.22mV</t>
  </si>
  <si>
    <t>37.07mV</t>
  </si>
  <si>
    <t>11.53mV</t>
  </si>
  <si>
    <t>14.60mV</t>
  </si>
  <si>
    <t>50.26mV</t>
  </si>
  <si>
    <t>0.12602Hz</t>
  </si>
  <si>
    <t>1.76Hz</t>
  </si>
  <si>
    <t>22.60Hz</t>
  </si>
  <si>
    <t>Vc~1.1V Vgc~0.6V</t>
  </si>
  <si>
    <t>9.147mV</t>
  </si>
  <si>
    <t>10.43mV</t>
  </si>
  <si>
    <t>27.38mV</t>
  </si>
  <si>
    <t>0.1245Hz</t>
  </si>
  <si>
    <t>1.57Hz</t>
  </si>
  <si>
    <t>19.52Hz</t>
  </si>
  <si>
    <t>0.126Hz</t>
  </si>
  <si>
    <t>2.004Hz</t>
  </si>
  <si>
    <t>26.57Hz</t>
  </si>
  <si>
    <t>GMC NOISE 1Hz:</t>
  </si>
  <si>
    <t>16.3uV/sqrt(Hz)</t>
  </si>
  <si>
    <t>17.8uV/sqrt(Hz)</t>
  </si>
  <si>
    <t>18.9uV/sqrt(Hz)</t>
  </si>
  <si>
    <t>Vgc 0.4V</t>
  </si>
  <si>
    <t>16.6uV/sqrt(Hz)</t>
  </si>
  <si>
    <t>15.9uV/sqrt(Hz)</t>
  </si>
  <si>
    <t>GMC NOISE 1kHz:</t>
  </si>
  <si>
    <t>49.9nV/sqrt(Hz)</t>
  </si>
  <si>
    <t>169nV/sqrt(Hz)</t>
  </si>
  <si>
    <t>702nV/sqrt(Hz)</t>
  </si>
  <si>
    <t>47.1nV/sqrt(Hz)</t>
  </si>
  <si>
    <t>160nV/sqrt(Hz)</t>
  </si>
  <si>
    <t>634nV/sqrt(Hz)</t>
  </si>
  <si>
    <t>53.3nV/sqrt(Hz)</t>
  </si>
  <si>
    <t>181nV/sqrt(Hz)</t>
  </si>
  <si>
    <t>786nV/sqrt(Hz)</t>
  </si>
  <si>
    <t>GMC NOISE INPUT TOTAL:</t>
  </si>
  <si>
    <t>2.756mVrms</t>
  </si>
  <si>
    <t>2.96mVrms</t>
  </si>
  <si>
    <t>3.002mVrms</t>
  </si>
  <si>
    <t>2.782mVrms</t>
  </si>
  <si>
    <t>3.001mVrms</t>
  </si>
  <si>
    <t>3.047mVrms</t>
  </si>
  <si>
    <t>2.727mVrms</t>
  </si>
  <si>
    <t>2.914mVrms</t>
  </si>
  <si>
    <t>2.9510mVrms</t>
  </si>
  <si>
    <t>GMC NOISE OUTPUT TOTAL:</t>
  </si>
  <si>
    <t>45.08uVrms</t>
  </si>
  <si>
    <t>55.6uVrms</t>
  </si>
  <si>
    <t>65.48uVrms</t>
  </si>
  <si>
    <t>44.69uVrms</t>
  </si>
  <si>
    <t>55.26uVrms</t>
  </si>
  <si>
    <t>65.08uVrms</t>
  </si>
  <si>
    <t>45.42uVrms</t>
  </si>
  <si>
    <t>56.08uVrms</t>
  </si>
  <si>
    <t>65.88uVrms</t>
  </si>
  <si>
    <t>GMC LPF OFFSET 0.5</t>
  </si>
  <si>
    <t>10.08mV</t>
  </si>
  <si>
    <t>16.51mV</t>
  </si>
  <si>
    <t>54.14mV</t>
  </si>
  <si>
    <t>10.79mV</t>
  </si>
  <si>
    <t>17.945mV</t>
  </si>
  <si>
    <t>59.99mV</t>
  </si>
  <si>
    <t>9.388mV</t>
  </si>
  <si>
    <t>15.13mV</t>
  </si>
  <si>
    <t>48.39mV</t>
  </si>
  <si>
    <t>GMC LPF OFFSET 0.6</t>
  </si>
  <si>
    <t>11.3mV</t>
  </si>
  <si>
    <t>46.125mV</t>
  </si>
  <si>
    <t>1.26V</t>
  </si>
  <si>
    <t>DON'T USE 0.6V VGC UNLESS TIGHT CUTOFFS ARE NEEDED</t>
  </si>
  <si>
    <t>GMC LPF OFFSET 0.4</t>
  </si>
  <si>
    <t>9.324mV</t>
  </si>
  <si>
    <t>12.08mV</t>
  </si>
  <si>
    <t>18.34mV</t>
  </si>
  <si>
    <t>10.01mV</t>
  </si>
  <si>
    <t>12.89mV</t>
  </si>
  <si>
    <t>19.72mV</t>
  </si>
  <si>
    <t>8.653mV</t>
  </si>
  <si>
    <t>11.29mV</t>
  </si>
  <si>
    <t>16.97mV</t>
  </si>
  <si>
    <t>Lock In Amplifier Error Phase Shifted Phase 10uV input</t>
  </si>
  <si>
    <t>12mV Offset at GM-C</t>
  </si>
  <si>
    <t>Offset Out 0.1451V</t>
  </si>
  <si>
    <t>Lock In Amplifier Error Noisy Magnitude 10uV input</t>
  </si>
  <si>
    <t>Lock In Amplifier Error Noisy Phase Shifted Magnitude 10uV input</t>
  </si>
  <si>
    <t>Lock In Amplifier Error Noisy Phase Shifted Phase 10uV input</t>
  </si>
  <si>
    <t>Becasue the entire architecture will be relatively large; I'm only going to do TT and hope for the best</t>
  </si>
  <si>
    <t>If time or data resources end up being quite tight; only the last ones will recieve Temperature and Voltage Variations</t>
  </si>
  <si>
    <t>Measure sqrt(I^2 + Q^2) vs Ideal 2/PI * cos(phase)</t>
  </si>
  <si>
    <t>SETUP TIME</t>
  </si>
  <si>
    <t>CLK-&gt;Q</t>
  </si>
  <si>
    <t>NOMINAL(27C 2.5V)</t>
  </si>
  <si>
    <t>490ps</t>
  </si>
  <si>
    <t>271.32ps</t>
  </si>
  <si>
    <t>FOR CLK-&gt;Q; SETUP AND HOLD, DONT SWEEP JUST USE BEST AND WORST CASES</t>
  </si>
  <si>
    <t>FF BEST(-20C 2.75V)</t>
  </si>
  <si>
    <t>480ps</t>
  </si>
  <si>
    <t>309.7ps</t>
  </si>
  <si>
    <t>SS WORST(100C 2.25V)</t>
  </si>
  <si>
    <t>500ps</t>
  </si>
  <si>
    <t>269.76ps</t>
  </si>
  <si>
    <t>HOLD TIME</t>
  </si>
  <si>
    <t>300ps</t>
  </si>
  <si>
    <t>FF WORST (-20C 2.75V)</t>
  </si>
  <si>
    <t>380ps</t>
  </si>
  <si>
    <t>SS BEST(100C 2.25V)</t>
  </si>
  <si>
    <t>230ps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</si>
</sst>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C1" s="1" t="s">
        <v>0</v>
      </c>
      <c r="D1" s="1" t="s">
        <v>1</v>
      </c>
      <c r="E1" s="1" t="s">
        <v>2</v>
      </c>
      <c r="G1" s="1" t="s">
        <v>3</v>
      </c>
    </row>
    <row r="2">
      <c r="G2" s="1" t="s">
        <v>4</v>
      </c>
    </row>
    <row r="3">
      <c r="A3" s="1"/>
      <c r="G3" s="1" t="s">
        <v>5</v>
      </c>
    </row>
    <row r="4">
      <c r="A4" s="1" t="s">
        <v>6</v>
      </c>
      <c r="G4" s="1" t="s">
        <v>7</v>
      </c>
    </row>
    <row r="5">
      <c r="A5" s="1" t="s">
        <v>8</v>
      </c>
      <c r="C5" s="1" t="s">
        <v>9</v>
      </c>
      <c r="D5" s="1" t="s">
        <v>10</v>
      </c>
      <c r="E5" s="1" t="s">
        <v>11</v>
      </c>
    </row>
    <row r="6">
      <c r="A6" s="1" t="s">
        <v>12</v>
      </c>
      <c r="C6" s="1" t="s">
        <v>13</v>
      </c>
      <c r="D6" s="1" t="s">
        <v>14</v>
      </c>
      <c r="E6" s="1" t="s">
        <v>15</v>
      </c>
    </row>
    <row r="7">
      <c r="A7" s="1" t="s">
        <v>16</v>
      </c>
      <c r="C7" s="1" t="s">
        <v>17</v>
      </c>
      <c r="D7" s="1" t="s">
        <v>18</v>
      </c>
      <c r="E7" s="1" t="s">
        <v>19</v>
      </c>
    </row>
    <row r="8">
      <c r="A8" s="1" t="s">
        <v>20</v>
      </c>
      <c r="G8" s="1" t="s">
        <v>21</v>
      </c>
    </row>
    <row r="9">
      <c r="A9" s="1" t="s">
        <v>22</v>
      </c>
      <c r="C9" s="1" t="s">
        <v>23</v>
      </c>
      <c r="D9" s="1" t="s">
        <v>24</v>
      </c>
      <c r="E9" s="1" t="s">
        <v>25</v>
      </c>
    </row>
    <row r="10">
      <c r="A10" s="1" t="s">
        <v>12</v>
      </c>
      <c r="C10" s="1" t="s">
        <v>26</v>
      </c>
      <c r="D10" s="1" t="s">
        <v>27</v>
      </c>
      <c r="E10" s="1" t="s">
        <v>28</v>
      </c>
    </row>
    <row r="11">
      <c r="A11" s="1" t="s">
        <v>16</v>
      </c>
      <c r="C11" s="1" t="s">
        <v>29</v>
      </c>
      <c r="D11" s="1" t="s">
        <v>30</v>
      </c>
      <c r="E11" s="1" t="s">
        <v>31</v>
      </c>
    </row>
    <row r="12">
      <c r="A12" s="1" t="s">
        <v>32</v>
      </c>
      <c r="G12" s="1" t="s">
        <v>33</v>
      </c>
    </row>
    <row r="13">
      <c r="A13" s="1" t="s">
        <v>22</v>
      </c>
      <c r="C13" s="1" t="s">
        <v>34</v>
      </c>
      <c r="D13" s="1" t="s">
        <v>35</v>
      </c>
      <c r="E13" s="1" t="s">
        <v>36</v>
      </c>
    </row>
    <row r="14">
      <c r="A14" s="1" t="s">
        <v>12</v>
      </c>
      <c r="C14" s="1" t="s">
        <v>37</v>
      </c>
      <c r="D14" s="1" t="s">
        <v>38</v>
      </c>
      <c r="E14" s="1" t="s">
        <v>39</v>
      </c>
    </row>
    <row r="15">
      <c r="A15" s="1" t="s">
        <v>16</v>
      </c>
      <c r="C15" s="1" t="s">
        <v>34</v>
      </c>
      <c r="D15" s="1" t="s">
        <v>40</v>
      </c>
      <c r="E15" s="1" t="s">
        <v>41</v>
      </c>
    </row>
    <row r="16">
      <c r="A16" s="1" t="s">
        <v>42</v>
      </c>
    </row>
    <row r="17">
      <c r="A17" s="1" t="s">
        <v>22</v>
      </c>
      <c r="C17" s="1" t="s">
        <v>43</v>
      </c>
      <c r="D17" s="1" t="s">
        <v>44</v>
      </c>
      <c r="E17" s="1" t="s">
        <v>45</v>
      </c>
    </row>
    <row r="18">
      <c r="A18" s="1" t="s">
        <v>12</v>
      </c>
      <c r="C18" s="1" t="s">
        <v>46</v>
      </c>
      <c r="D18" s="1" t="s">
        <v>47</v>
      </c>
      <c r="E18" s="1" t="s">
        <v>48</v>
      </c>
    </row>
    <row r="19">
      <c r="A19" s="1" t="s">
        <v>16</v>
      </c>
      <c r="C19" s="1" t="s">
        <v>49</v>
      </c>
      <c r="D19" s="1" t="s">
        <v>50</v>
      </c>
      <c r="E19" s="1" t="s">
        <v>51</v>
      </c>
    </row>
    <row r="20">
      <c r="A20" s="1" t="s">
        <v>52</v>
      </c>
    </row>
    <row r="21">
      <c r="A21" s="1" t="s">
        <v>22</v>
      </c>
      <c r="C21" s="2">
        <f>180 - 121.9</f>
        <v>58.1</v>
      </c>
      <c r="D21" s="2">
        <f>180-119.1</f>
        <v>60.9</v>
      </c>
      <c r="E21" s="2">
        <f>180-116.5</f>
        <v>63.5</v>
      </c>
    </row>
    <row r="22">
      <c r="A22" s="1" t="s">
        <v>12</v>
      </c>
      <c r="C22" s="2">
        <f>180-120.6</f>
        <v>59.4</v>
      </c>
      <c r="D22" s="2">
        <f>180-117.5</f>
        <v>62.5</v>
      </c>
      <c r="E22" s="1">
        <f>180-116.69</f>
        <v>63.31</v>
      </c>
    </row>
    <row r="23">
      <c r="A23" s="1" t="s">
        <v>16</v>
      </c>
      <c r="C23" s="2">
        <f>180-122.6</f>
        <v>57.4</v>
      </c>
      <c r="D23" s="2">
        <f>180-119.9</f>
        <v>60.1</v>
      </c>
      <c r="E23" s="2">
        <f>180-118</f>
        <v>62</v>
      </c>
    </row>
    <row r="24">
      <c r="A24" s="1" t="s">
        <v>56</v>
      </c>
    </row>
    <row r="25">
      <c r="A25" s="1" t="s">
        <v>22</v>
      </c>
      <c r="C25" s="1" t="s">
        <v>57</v>
      </c>
      <c r="D25" s="1" t="s">
        <v>58</v>
      </c>
      <c r="E25" s="1" t="s">
        <v>59</v>
      </c>
    </row>
    <row r="26">
      <c r="A26" s="1" t="s">
        <v>12</v>
      </c>
      <c r="C26" s="1" t="s">
        <v>60</v>
      </c>
      <c r="D26" s="1" t="s">
        <v>61</v>
      </c>
      <c r="E26" s="1" t="s">
        <v>62</v>
      </c>
    </row>
    <row r="27">
      <c r="A27" s="1" t="s">
        <v>16</v>
      </c>
      <c r="C27" s="1" t="s">
        <v>63</v>
      </c>
      <c r="D27" s="1" t="s">
        <v>64</v>
      </c>
      <c r="E27" s="1" t="s">
        <v>65</v>
      </c>
    </row>
    <row r="28">
      <c r="A28" s="1" t="s">
        <v>66</v>
      </c>
    </row>
    <row r="29">
      <c r="A29" s="1" t="s">
        <v>22</v>
      </c>
      <c r="C29" s="1" t="s">
        <v>67</v>
      </c>
      <c r="D29" s="1" t="s">
        <v>68</v>
      </c>
      <c r="E29" s="1" t="s">
        <v>69</v>
      </c>
    </row>
    <row r="30">
      <c r="A30" s="1" t="s">
        <v>12</v>
      </c>
      <c r="C30" s="1" t="s">
        <v>70</v>
      </c>
      <c r="D30" s="1" t="s">
        <v>71</v>
      </c>
      <c r="E30" s="1" t="s">
        <v>72</v>
      </c>
    </row>
    <row r="31">
      <c r="A31" s="1" t="s">
        <v>16</v>
      </c>
      <c r="C31" s="1" t="s">
        <v>73</v>
      </c>
      <c r="D31" s="1" t="s">
        <v>74</v>
      </c>
      <c r="E31" s="1" t="s">
        <v>75</v>
      </c>
    </row>
    <row r="32">
      <c r="A32" s="1" t="s">
        <v>76</v>
      </c>
    </row>
    <row r="33">
      <c r="A33" s="1" t="s">
        <v>22</v>
      </c>
      <c r="C33" s="1" t="s">
        <v>77</v>
      </c>
      <c r="D33" s="1" t="s">
        <v>78</v>
      </c>
      <c r="E33" s="1" t="s">
        <v>79</v>
      </c>
    </row>
    <row r="34">
      <c r="A34" s="1" t="s">
        <v>12</v>
      </c>
      <c r="C34" s="1" t="s">
        <v>78</v>
      </c>
      <c r="D34" s="1" t="s">
        <v>80</v>
      </c>
      <c r="E34" s="1" t="s">
        <v>81</v>
      </c>
    </row>
    <row r="35">
      <c r="A35" s="1" t="s">
        <v>16</v>
      </c>
      <c r="C35" s="1" t="s">
        <v>82</v>
      </c>
      <c r="D35" s="1" t="s">
        <v>83</v>
      </c>
      <c r="E35" s="1" t="s">
        <v>84</v>
      </c>
    </row>
    <row r="36">
      <c r="A36" s="1" t="s">
        <v>85</v>
      </c>
    </row>
    <row r="37">
      <c r="A37" s="1" t="s">
        <v>22</v>
      </c>
      <c r="C37" s="1" t="s">
        <v>86</v>
      </c>
      <c r="D37" s="1" t="s">
        <v>87</v>
      </c>
      <c r="E37" s="1" t="s">
        <v>88</v>
      </c>
      <c r="G37" s="1" t="s">
        <v>89</v>
      </c>
    </row>
    <row r="38">
      <c r="A38" s="1" t="s">
        <v>12</v>
      </c>
      <c r="C38" s="1" t="s">
        <v>90</v>
      </c>
      <c r="D38" s="1" t="s">
        <v>91</v>
      </c>
      <c r="E38" s="1" t="s">
        <v>92</v>
      </c>
    </row>
    <row r="39">
      <c r="A39" s="1" t="s">
        <v>16</v>
      </c>
      <c r="C39" s="1" t="s">
        <v>93</v>
      </c>
      <c r="D39" s="1" t="s">
        <v>94</v>
      </c>
      <c r="E39" s="1" t="s">
        <v>95</v>
      </c>
    </row>
    <row r="40">
      <c r="A40" s="1" t="s">
        <v>96</v>
      </c>
    </row>
    <row r="41">
      <c r="A41" s="1" t="s">
        <v>22</v>
      </c>
      <c r="C41" s="1" t="s">
        <v>97</v>
      </c>
      <c r="D41" s="1" t="s">
        <v>98</v>
      </c>
      <c r="E41" s="1" t="s">
        <v>99</v>
      </c>
    </row>
    <row r="42">
      <c r="A42" s="1" t="s">
        <v>12</v>
      </c>
      <c r="C42" s="1" t="s">
        <v>100</v>
      </c>
      <c r="D42" s="1" t="s">
        <v>101</v>
      </c>
      <c r="E42" s="1" t="s">
        <v>102</v>
      </c>
    </row>
    <row r="43">
      <c r="A43" s="1" t="s">
        <v>16</v>
      </c>
      <c r="C43" s="1" t="s">
        <v>103</v>
      </c>
      <c r="D43" s="1" t="s">
        <v>104</v>
      </c>
      <c r="E43" s="1" t="s">
        <v>105</v>
      </c>
    </row>
    <row r="44">
      <c r="A44" s="1" t="s">
        <v>106</v>
      </c>
    </row>
    <row r="45">
      <c r="A45" s="1" t="s">
        <v>22</v>
      </c>
      <c r="C45" s="1" t="s">
        <v>107</v>
      </c>
      <c r="D45" s="1" t="s">
        <v>108</v>
      </c>
      <c r="E45" s="1" t="s">
        <v>109</v>
      </c>
    </row>
    <row r="46">
      <c r="A46" s="1" t="s">
        <v>12</v>
      </c>
      <c r="C46" s="1" t="s">
        <v>110</v>
      </c>
      <c r="D46" s="1" t="s">
        <v>111</v>
      </c>
      <c r="E46" s="1" t="s">
        <v>112</v>
      </c>
    </row>
    <row r="47">
      <c r="A47" s="1" t="s">
        <v>16</v>
      </c>
      <c r="C47" s="1" t="s">
        <v>113</v>
      </c>
      <c r="D47" s="1" t="s">
        <v>114</v>
      </c>
      <c r="E47" s="1" t="s">
        <v>115</v>
      </c>
    </row>
    <row r="48">
      <c r="A48" s="1" t="s">
        <v>116</v>
      </c>
    </row>
    <row r="49">
      <c r="A49" s="1" t="s">
        <v>22</v>
      </c>
      <c r="C49" s="1" t="s">
        <v>117</v>
      </c>
      <c r="D49" s="1" t="s">
        <v>118</v>
      </c>
      <c r="E49" s="1" t="s">
        <v>119</v>
      </c>
    </row>
    <row r="50">
      <c r="A50" s="1" t="s">
        <v>12</v>
      </c>
      <c r="C50" s="1" t="s">
        <v>120</v>
      </c>
      <c r="D50" s="1" t="s">
        <v>121</v>
      </c>
      <c r="E50" s="1" t="s">
        <v>122</v>
      </c>
    </row>
    <row r="51">
      <c r="A51" s="1" t="s">
        <v>16</v>
      </c>
      <c r="C51" s="1" t="s">
        <v>123</v>
      </c>
      <c r="D51" s="1" t="s">
        <v>124</v>
      </c>
      <c r="E51" s="1" t="s">
        <v>125</v>
      </c>
    </row>
    <row r="52">
      <c r="A52" s="1" t="s">
        <v>126</v>
      </c>
    </row>
    <row r="53">
      <c r="A53" s="1" t="s">
        <v>22</v>
      </c>
      <c r="C53" s="1">
        <v>65.54</v>
      </c>
      <c r="D53" s="1">
        <v>67.6</v>
      </c>
      <c r="E53" s="1">
        <v>69.337</v>
      </c>
    </row>
    <row r="54">
      <c r="A54" s="1" t="s">
        <v>12</v>
      </c>
      <c r="C54" s="1">
        <v>66.3</v>
      </c>
      <c r="D54" s="1">
        <v>68.08</v>
      </c>
      <c r="E54" s="1">
        <v>69.8</v>
      </c>
    </row>
    <row r="55">
      <c r="A55" s="1" t="s">
        <v>16</v>
      </c>
      <c r="C55" s="1">
        <v>64.99</v>
      </c>
      <c r="D55" s="1">
        <v>67.09</v>
      </c>
      <c r="E55" s="1">
        <v>68.83</v>
      </c>
    </row>
    <row r="56">
      <c r="A56" s="1" t="s">
        <v>127</v>
      </c>
    </row>
    <row r="57">
      <c r="A57" s="1" t="s">
        <v>22</v>
      </c>
      <c r="C57" s="1" t="s">
        <v>128</v>
      </c>
      <c r="D57" s="1" t="s">
        <v>129</v>
      </c>
      <c r="E57" s="1" t="s">
        <v>130</v>
      </c>
    </row>
    <row r="58">
      <c r="A58" s="1" t="s">
        <v>12</v>
      </c>
      <c r="C58" s="1" t="s">
        <v>131</v>
      </c>
      <c r="D58" s="1" t="s">
        <v>132</v>
      </c>
      <c r="E58" s="1" t="s">
        <v>133</v>
      </c>
    </row>
    <row r="59">
      <c r="A59" s="1" t="s">
        <v>16</v>
      </c>
      <c r="C59" s="1" t="s">
        <v>134</v>
      </c>
      <c r="D59" s="1" t="s">
        <v>135</v>
      </c>
      <c r="E59" s="1" t="s">
        <v>136</v>
      </c>
    </row>
    <row r="60">
      <c r="A60" s="1" t="s">
        <v>137</v>
      </c>
    </row>
    <row r="61">
      <c r="A61" s="1" t="s">
        <v>22</v>
      </c>
      <c r="C61" s="1" t="s">
        <v>138</v>
      </c>
      <c r="D61" s="1" t="s">
        <v>139</v>
      </c>
      <c r="E61" s="1" t="s">
        <v>140</v>
      </c>
    </row>
    <row r="62">
      <c r="A62" s="1" t="s">
        <v>12</v>
      </c>
      <c r="C62" s="1" t="s">
        <v>141</v>
      </c>
      <c r="D62" s="1" t="s">
        <v>142</v>
      </c>
      <c r="E62" s="1" t="s">
        <v>143</v>
      </c>
    </row>
    <row r="63">
      <c r="A63" s="1" t="s">
        <v>16</v>
      </c>
      <c r="C63" s="1" t="s">
        <v>144</v>
      </c>
      <c r="D63" s="1" t="s">
        <v>145</v>
      </c>
      <c r="E63" s="1" t="s">
        <v>146</v>
      </c>
    </row>
    <row r="64">
      <c r="A64" s="1" t="s">
        <v>147</v>
      </c>
    </row>
    <row r="65">
      <c r="A65" s="1" t="s">
        <v>22</v>
      </c>
      <c r="C65" s="1">
        <v>70.102</v>
      </c>
      <c r="D65" s="1">
        <v>79.706</v>
      </c>
      <c r="E65" s="1">
        <v>90.856</v>
      </c>
    </row>
    <row r="66">
      <c r="A66" s="1" t="s">
        <v>12</v>
      </c>
      <c r="C66" s="1">
        <v>76.669</v>
      </c>
      <c r="D66" s="1">
        <v>77.83</v>
      </c>
      <c r="E66" s="1">
        <v>78.703</v>
      </c>
    </row>
    <row r="67">
      <c r="A67" s="1" t="s">
        <v>16</v>
      </c>
      <c r="C67" s="1">
        <v>75.27</v>
      </c>
      <c r="D67" s="1">
        <v>76.56</v>
      </c>
      <c r="E67" s="1">
        <v>77.506</v>
      </c>
    </row>
    <row r="68">
      <c r="A68" s="1" t="s">
        <v>148</v>
      </c>
    </row>
    <row r="69">
      <c r="A69" s="1" t="s">
        <v>22</v>
      </c>
      <c r="C69" s="1" t="s">
        <v>149</v>
      </c>
      <c r="D69" s="1" t="s">
        <v>150</v>
      </c>
      <c r="E69" s="1" t="s">
        <v>151</v>
      </c>
    </row>
    <row r="70">
      <c r="A70" s="1" t="s">
        <v>12</v>
      </c>
      <c r="C70" s="1" t="s">
        <v>152</v>
      </c>
      <c r="D70" s="1" t="s">
        <v>153</v>
      </c>
      <c r="E70" s="1" t="s">
        <v>154</v>
      </c>
    </row>
    <row r="71">
      <c r="A71" s="1" t="s">
        <v>16</v>
      </c>
      <c r="C71" s="1" t="s">
        <v>155</v>
      </c>
      <c r="D71" s="1" t="s">
        <v>156</v>
      </c>
      <c r="E71" s="1" t="s">
        <v>157</v>
      </c>
    </row>
    <row r="72">
      <c r="A72" s="1" t="s">
        <v>158</v>
      </c>
    </row>
    <row r="73">
      <c r="A73" s="1" t="s">
        <v>22</v>
      </c>
      <c r="C73" s="1" t="s">
        <v>159</v>
      </c>
      <c r="D73" s="1" t="s">
        <v>160</v>
      </c>
      <c r="E73" s="1" t="s">
        <v>161</v>
      </c>
    </row>
    <row r="74">
      <c r="A74" s="1" t="s">
        <v>12</v>
      </c>
      <c r="C74" s="1" t="s">
        <v>162</v>
      </c>
      <c r="D74" s="1" t="s">
        <v>163</v>
      </c>
      <c r="E74" s="1" t="s">
        <v>164</v>
      </c>
    </row>
    <row r="75">
      <c r="A75" s="1" t="s">
        <v>16</v>
      </c>
      <c r="C75" s="1" t="s">
        <v>165</v>
      </c>
      <c r="D75" s="1" t="s">
        <v>166</v>
      </c>
      <c r="E75" s="1" t="s">
        <v>167</v>
      </c>
    </row>
    <row r="76">
      <c r="A76" s="1" t="s">
        <v>168</v>
      </c>
    </row>
    <row r="77">
      <c r="A77" s="1" t="s">
        <v>22</v>
      </c>
      <c r="C77" s="1" t="s">
        <v>169</v>
      </c>
      <c r="D77" s="1" t="s">
        <v>170</v>
      </c>
      <c r="E77" s="1" t="s">
        <v>171</v>
      </c>
    </row>
    <row r="78">
      <c r="A78" s="1" t="s">
        <v>12</v>
      </c>
      <c r="C78" s="1" t="s">
        <v>172</v>
      </c>
      <c r="D78" s="1" t="s">
        <v>173</v>
      </c>
      <c r="E78" s="1" t="s">
        <v>174</v>
      </c>
    </row>
    <row r="79">
      <c r="A79" s="1" t="s">
        <v>16</v>
      </c>
      <c r="C79" s="1" t="s">
        <v>175</v>
      </c>
      <c r="D79" s="1" t="s">
        <v>176</v>
      </c>
      <c r="E79" s="1" t="s">
        <v>177</v>
      </c>
    </row>
    <row r="80">
      <c r="A80" s="1" t="s">
        <v>178</v>
      </c>
    </row>
    <row r="81">
      <c r="A81" s="1" t="s">
        <v>22</v>
      </c>
      <c r="C81" s="1" t="s">
        <v>179</v>
      </c>
      <c r="D81" s="1" t="s">
        <v>180</v>
      </c>
      <c r="E81" s="1" t="s">
        <v>181</v>
      </c>
    </row>
    <row r="82">
      <c r="A82" s="1" t="s">
        <v>12</v>
      </c>
      <c r="C82" s="1" t="s">
        <v>182</v>
      </c>
      <c r="D82" s="1" t="s">
        <v>183</v>
      </c>
      <c r="E82" s="1" t="s">
        <v>184</v>
      </c>
    </row>
    <row r="83">
      <c r="A83" s="1" t="s">
        <v>16</v>
      </c>
      <c r="C83" s="1" t="s">
        <v>185</v>
      </c>
      <c r="D83" s="1" t="s">
        <v>186</v>
      </c>
      <c r="E83" s="1" t="s">
        <v>187</v>
      </c>
    </row>
    <row r="84">
      <c r="A84" s="1" t="s">
        <v>188</v>
      </c>
    </row>
    <row r="85">
      <c r="A85" s="1" t="s">
        <v>22</v>
      </c>
      <c r="C85" s="1" t="s">
        <v>189</v>
      </c>
      <c r="D85" s="1" t="s">
        <v>190</v>
      </c>
      <c r="E85" s="1" t="s">
        <v>191</v>
      </c>
    </row>
    <row r="86">
      <c r="A86" s="1" t="s">
        <v>12</v>
      </c>
      <c r="C86" s="1" t="s">
        <v>189</v>
      </c>
      <c r="D86" s="1" t="s">
        <v>192</v>
      </c>
      <c r="E86" s="1" t="s">
        <v>193</v>
      </c>
    </row>
    <row r="87">
      <c r="A87" s="1" t="s">
        <v>16</v>
      </c>
      <c r="C87" s="1" t="s">
        <v>194</v>
      </c>
      <c r="D87" s="1" t="s">
        <v>195</v>
      </c>
      <c r="E87" s="1" t="s">
        <v>196</v>
      </c>
    </row>
    <row r="88">
      <c r="A88" s="1" t="s">
        <v>197</v>
      </c>
    </row>
    <row r="89">
      <c r="A89" s="1" t="s">
        <v>22</v>
      </c>
      <c r="C89" s="1" t="s">
        <v>198</v>
      </c>
      <c r="D89" s="1" t="s">
        <v>199</v>
      </c>
      <c r="E89" s="1" t="s">
        <v>200</v>
      </c>
    </row>
    <row r="90">
      <c r="A90" s="1" t="s">
        <v>12</v>
      </c>
      <c r="C90" s="1" t="s">
        <v>201</v>
      </c>
      <c r="D90" s="1" t="s">
        <v>202</v>
      </c>
      <c r="E90" s="1" t="s">
        <v>203</v>
      </c>
    </row>
    <row r="91">
      <c r="A91" s="1" t="s">
        <v>16</v>
      </c>
      <c r="C91" s="1" t="s">
        <v>204</v>
      </c>
      <c r="D91" s="1" t="s">
        <v>205</v>
      </c>
      <c r="E91" s="1" t="s">
        <v>206</v>
      </c>
    </row>
    <row r="92">
      <c r="A92" s="1" t="s">
        <v>207</v>
      </c>
    </row>
    <row r="93">
      <c r="A93" s="1" t="s">
        <v>22</v>
      </c>
      <c r="C93" s="1" t="s">
        <v>208</v>
      </c>
      <c r="D93" s="1" t="s">
        <v>209</v>
      </c>
      <c r="E93" s="1" t="s">
        <v>210</v>
      </c>
    </row>
    <row r="94">
      <c r="A94" s="1" t="s">
        <v>12</v>
      </c>
      <c r="C94" s="1" t="s">
        <v>211</v>
      </c>
      <c r="D94" s="1" t="s">
        <v>212</v>
      </c>
      <c r="E94" s="1" t="s">
        <v>213</v>
      </c>
    </row>
    <row r="95">
      <c r="A95" s="1" t="s">
        <v>16</v>
      </c>
      <c r="C95" s="1" t="s">
        <v>214</v>
      </c>
      <c r="D95" s="1" t="s">
        <v>215</v>
      </c>
      <c r="E95" s="1" t="s">
        <v>216</v>
      </c>
    </row>
    <row r="96">
      <c r="A96" s="1" t="s">
        <v>217</v>
      </c>
    </row>
    <row r="97">
      <c r="A97" s="1" t="s">
        <v>22</v>
      </c>
      <c r="C97" s="1" t="s">
        <v>218</v>
      </c>
      <c r="D97" s="1" t="s">
        <v>219</v>
      </c>
      <c r="E97" s="1" t="s">
        <v>220</v>
      </c>
    </row>
    <row r="98">
      <c r="A98" s="1" t="s">
        <v>12</v>
      </c>
      <c r="C98" s="1" t="s">
        <v>221</v>
      </c>
      <c r="D98" s="1" t="s">
        <v>222</v>
      </c>
      <c r="E98" s="1" t="s">
        <v>223</v>
      </c>
    </row>
    <row r="99">
      <c r="A99" s="1" t="s">
        <v>16</v>
      </c>
      <c r="C99" s="1" t="s">
        <v>224</v>
      </c>
      <c r="D99" s="1" t="s">
        <v>225</v>
      </c>
      <c r="E99" s="1" t="s">
        <v>226</v>
      </c>
    </row>
    <row r="100">
      <c r="A100" s="1" t="s">
        <v>227</v>
      </c>
    </row>
    <row r="101">
      <c r="A101" s="1" t="s">
        <v>22</v>
      </c>
      <c r="C101" s="1" t="s">
        <v>228</v>
      </c>
      <c r="D101" s="1" t="s">
        <v>229</v>
      </c>
      <c r="E101" s="1" t="s">
        <v>230</v>
      </c>
    </row>
    <row r="102">
      <c r="A102" s="1" t="s">
        <v>12</v>
      </c>
      <c r="C102" s="1" t="s">
        <v>231</v>
      </c>
      <c r="D102" s="1" t="s">
        <v>232</v>
      </c>
      <c r="E102" s="1" t="s">
        <v>233</v>
      </c>
    </row>
    <row r="103">
      <c r="A103" s="1" t="s">
        <v>16</v>
      </c>
      <c r="C103" s="1" t="s">
        <v>234</v>
      </c>
      <c r="D103" s="1" t="s">
        <v>235</v>
      </c>
      <c r="E103" s="1" t="s">
        <v>236</v>
      </c>
    </row>
    <row r="104">
      <c r="A104" s="1" t="s">
        <v>237</v>
      </c>
    </row>
    <row r="105">
      <c r="A105" s="1" t="s">
        <v>22</v>
      </c>
      <c r="C105" s="1" t="s">
        <v>238</v>
      </c>
      <c r="D105" s="1" t="s">
        <v>239</v>
      </c>
      <c r="E105" s="1" t="s">
        <v>240</v>
      </c>
    </row>
    <row r="106">
      <c r="A106" s="1" t="s">
        <v>12</v>
      </c>
      <c r="C106" s="1" t="s">
        <v>241</v>
      </c>
      <c r="D106" s="1" t="s">
        <v>242</v>
      </c>
      <c r="E106" s="1" t="s">
        <v>243</v>
      </c>
    </row>
    <row r="107">
      <c r="A107" s="1" t="s">
        <v>16</v>
      </c>
      <c r="C107" s="1" t="s">
        <v>244</v>
      </c>
      <c r="D107" s="1" t="s">
        <v>245</v>
      </c>
      <c r="E107" s="1" t="s">
        <v>246</v>
      </c>
    </row>
    <row r="108">
      <c r="A108" s="1" t="s">
        <v>247</v>
      </c>
    </row>
    <row r="109">
      <c r="A109" s="1" t="s">
        <v>22</v>
      </c>
      <c r="C109" s="1" t="s">
        <v>248</v>
      </c>
      <c r="D109" s="1" t="s">
        <v>249</v>
      </c>
      <c r="E109" s="1" t="s">
        <v>240</v>
      </c>
    </row>
    <row r="110">
      <c r="A110" s="1" t="s">
        <v>12</v>
      </c>
      <c r="C110" s="1" t="s">
        <v>250</v>
      </c>
      <c r="D110" s="1" t="s">
        <v>249</v>
      </c>
      <c r="E110" s="1" t="s">
        <v>243</v>
      </c>
    </row>
    <row r="111">
      <c r="A111" s="1" t="s">
        <v>16</v>
      </c>
      <c r="C111" s="1" t="s">
        <v>251</v>
      </c>
      <c r="D111" s="1" t="s">
        <v>252</v>
      </c>
      <c r="E111" s="1" t="s">
        <v>253</v>
      </c>
    </row>
    <row r="112">
      <c r="A112" s="1" t="s">
        <v>254</v>
      </c>
    </row>
    <row r="113">
      <c r="A113" s="1" t="s">
        <v>22</v>
      </c>
      <c r="C113" s="1" t="s">
        <v>255</v>
      </c>
      <c r="D113" s="1" t="s">
        <v>256</v>
      </c>
      <c r="E113" s="1" t="s">
        <v>257</v>
      </c>
    </row>
    <row r="114">
      <c r="A114" s="1" t="s">
        <v>12</v>
      </c>
      <c r="C114" s="1" t="s">
        <v>258</v>
      </c>
      <c r="D114" s="1" t="s">
        <v>259</v>
      </c>
      <c r="E114" s="1" t="s">
        <v>260</v>
      </c>
    </row>
    <row r="115">
      <c r="A115" s="1" t="s">
        <v>16</v>
      </c>
      <c r="C115" s="1" t="s">
        <v>261</v>
      </c>
      <c r="D115" s="1" t="s">
        <v>262</v>
      </c>
      <c r="E115" s="1" t="s">
        <v>263</v>
      </c>
    </row>
    <row r="116">
      <c r="A116" s="1" t="s">
        <v>264</v>
      </c>
    </row>
    <row r="117">
      <c r="A117" s="1" t="s">
        <v>22</v>
      </c>
      <c r="C117" s="1" t="s">
        <v>265</v>
      </c>
      <c r="D117" s="1" t="s">
        <v>266</v>
      </c>
      <c r="E117" s="1" t="s">
        <v>257</v>
      </c>
    </row>
    <row r="118">
      <c r="A118" s="1" t="s">
        <v>12</v>
      </c>
      <c r="C118" s="1" t="s">
        <v>267</v>
      </c>
      <c r="D118" s="1" t="s">
        <v>268</v>
      </c>
      <c r="E118" s="1" t="s">
        <v>260</v>
      </c>
    </row>
    <row r="119">
      <c r="A119" s="1" t="s">
        <v>16</v>
      </c>
      <c r="C119" s="1" t="s">
        <v>269</v>
      </c>
      <c r="D119" s="1" t="s">
        <v>270</v>
      </c>
      <c r="E119" s="1" t="s">
        <v>271</v>
      </c>
    </row>
    <row r="120">
      <c r="A120" s="1" t="s">
        <v>272</v>
      </c>
      <c r="G120" s="1" t="s">
        <v>273</v>
      </c>
    </row>
    <row r="121">
      <c r="A121" s="1" t="s">
        <v>22</v>
      </c>
      <c r="C121" s="1" t="s">
        <v>274</v>
      </c>
      <c r="D121" s="1" t="s">
        <v>275</v>
      </c>
      <c r="E121" s="1" t="s">
        <v>276</v>
      </c>
      <c r="G121" s="1" t="s">
        <v>277</v>
      </c>
    </row>
    <row r="122">
      <c r="A122" s="1" t="s">
        <v>12</v>
      </c>
      <c r="C122" s="1" t="s">
        <v>278</v>
      </c>
      <c r="D122" s="1" t="s">
        <v>279</v>
      </c>
      <c r="E122" s="1" t="s">
        <v>280</v>
      </c>
    </row>
    <row r="123">
      <c r="A123" s="1" t="s">
        <v>16</v>
      </c>
      <c r="C123" s="1" t="s">
        <v>281</v>
      </c>
      <c r="D123" s="1" t="s">
        <v>282</v>
      </c>
      <c r="E123" s="1" t="s">
        <v>283</v>
      </c>
    </row>
    <row r="124">
      <c r="A124" s="1" t="s">
        <v>284</v>
      </c>
    </row>
    <row r="125">
      <c r="A125" s="1" t="s">
        <v>22</v>
      </c>
      <c r="C125" s="1" t="s">
        <v>285</v>
      </c>
      <c r="D125" s="1" t="s">
        <v>286</v>
      </c>
      <c r="E125" s="1" t="s">
        <v>287</v>
      </c>
    </row>
    <row r="126">
      <c r="A126" s="1" t="s">
        <v>12</v>
      </c>
      <c r="C126" s="1" t="s">
        <v>288</v>
      </c>
      <c r="D126" s="1" t="s">
        <v>289</v>
      </c>
      <c r="E126" s="1" t="s">
        <v>290</v>
      </c>
    </row>
    <row r="127">
      <c r="A127" s="1" t="s">
        <v>16</v>
      </c>
      <c r="C127" s="1" t="s">
        <v>291</v>
      </c>
      <c r="D127" s="1" t="s">
        <v>292</v>
      </c>
      <c r="E127" s="1" t="s">
        <v>293</v>
      </c>
    </row>
    <row r="128">
      <c r="A128" s="1" t="s">
        <v>294</v>
      </c>
    </row>
    <row r="129">
      <c r="A129" s="1" t="s">
        <v>22</v>
      </c>
      <c r="C129" s="1" t="s">
        <v>295</v>
      </c>
      <c r="D129" s="1" t="s">
        <v>296</v>
      </c>
      <c r="E129" s="1" t="s">
        <v>297</v>
      </c>
      <c r="G129" s="1" t="s">
        <v>298</v>
      </c>
    </row>
    <row r="130">
      <c r="A130" s="1" t="s">
        <v>12</v>
      </c>
      <c r="C130" s="1" t="s">
        <v>299</v>
      </c>
      <c r="D130" s="1" t="s">
        <v>300</v>
      </c>
      <c r="E130" s="1" t="s">
        <v>301</v>
      </c>
      <c r="O130" s="1" t="s">
        <v>302</v>
      </c>
    </row>
    <row r="131">
      <c r="A131" s="1" t="s">
        <v>16</v>
      </c>
      <c r="C131" s="1" t="s">
        <v>303</v>
      </c>
      <c r="D131" s="1" t="s">
        <v>304</v>
      </c>
      <c r="E131" s="1" t="s">
        <v>305</v>
      </c>
      <c r="O131" s="1" t="s">
        <v>22</v>
      </c>
      <c r="P131" s="1" t="s">
        <v>306</v>
      </c>
      <c r="Q131" s="1" t="s">
        <v>307</v>
      </c>
      <c r="R131" s="1" t="s">
        <v>308</v>
      </c>
    </row>
    <row r="132">
      <c r="A132" s="1" t="s">
        <v>294</v>
      </c>
      <c r="O132" s="1" t="s">
        <v>12</v>
      </c>
      <c r="P132" s="1" t="s">
        <v>309</v>
      </c>
      <c r="Q132" s="1" t="s">
        <v>310</v>
      </c>
      <c r="R132" s="1" t="s">
        <v>311</v>
      </c>
    </row>
    <row r="133">
      <c r="A133" s="1" t="s">
        <v>22</v>
      </c>
      <c r="C133" s="1" t="s">
        <v>312</v>
      </c>
      <c r="D133" s="1" t="s">
        <v>313</v>
      </c>
      <c r="E133" s="1" t="s">
        <v>314</v>
      </c>
      <c r="G133" s="1" t="s">
        <v>315</v>
      </c>
      <c r="O133" s="1" t="s">
        <v>16</v>
      </c>
      <c r="P133" s="1" t="s">
        <v>316</v>
      </c>
      <c r="Q133" s="1" t="s">
        <v>317</v>
      </c>
      <c r="R133" s="1" t="s">
        <v>318</v>
      </c>
    </row>
    <row r="134">
      <c r="A134" s="1" t="s">
        <v>12</v>
      </c>
      <c r="C134" s="1" t="s">
        <v>319</v>
      </c>
      <c r="D134" s="1" t="s">
        <v>320</v>
      </c>
      <c r="E134" s="1" t="s">
        <v>321</v>
      </c>
      <c r="O134" s="1" t="s">
        <v>302</v>
      </c>
    </row>
    <row r="135">
      <c r="A135" s="1" t="s">
        <v>16</v>
      </c>
      <c r="C135" s="1" t="s">
        <v>322</v>
      </c>
      <c r="D135" s="1" t="s">
        <v>323</v>
      </c>
      <c r="E135" s="1" t="s">
        <v>324</v>
      </c>
      <c r="O135" s="1" t="s">
        <v>22</v>
      </c>
      <c r="P135" s="1" t="s">
        <v>325</v>
      </c>
      <c r="Q135" s="1" t="s">
        <v>326</v>
      </c>
      <c r="R135" s="1" t="s">
        <v>327</v>
      </c>
    </row>
    <row r="136">
      <c r="A136" s="1" t="s">
        <v>294</v>
      </c>
      <c r="O136" s="1" t="s">
        <v>12</v>
      </c>
      <c r="P136" s="1" t="s">
        <v>328</v>
      </c>
      <c r="Q136" s="1" t="s">
        <v>329</v>
      </c>
      <c r="R136" s="1" t="s">
        <v>330</v>
      </c>
    </row>
    <row r="137">
      <c r="A137" s="1" t="s">
        <v>22</v>
      </c>
      <c r="C137" s="1" t="s">
        <v>331</v>
      </c>
      <c r="D137" s="1" t="s">
        <v>332</v>
      </c>
      <c r="E137" s="1" t="s">
        <v>333</v>
      </c>
      <c r="G137" s="1" t="s">
        <v>334</v>
      </c>
      <c r="O137" s="1" t="s">
        <v>16</v>
      </c>
      <c r="P137" s="1" t="s">
        <v>335</v>
      </c>
      <c r="Q137" s="1" t="s">
        <v>336</v>
      </c>
      <c r="R137" s="1" t="s">
        <v>337</v>
      </c>
    </row>
    <row r="138">
      <c r="A138" s="1" t="s">
        <v>12</v>
      </c>
      <c r="C138" s="1" t="s">
        <v>338</v>
      </c>
      <c r="D138" s="1" t="s">
        <v>339</v>
      </c>
      <c r="E138" s="1" t="s">
        <v>340</v>
      </c>
    </row>
    <row r="139">
      <c r="A139" s="1" t="s">
        <v>16</v>
      </c>
      <c r="C139" s="1" t="s">
        <v>341</v>
      </c>
      <c r="D139" s="1" t="s">
        <v>342</v>
      </c>
      <c r="E139" s="1" t="s">
        <v>343</v>
      </c>
    </row>
    <row r="140">
      <c r="A140" s="1" t="s">
        <v>344</v>
      </c>
    </row>
    <row r="141">
      <c r="A141" s="1" t="s">
        <v>22</v>
      </c>
      <c r="C141" s="1" t="s">
        <v>345</v>
      </c>
      <c r="D141" s="1" t="s">
        <v>346</v>
      </c>
      <c r="E141" s="1" t="s">
        <v>347</v>
      </c>
      <c r="G141" s="1" t="s">
        <v>348</v>
      </c>
    </row>
    <row r="142">
      <c r="A142" s="1" t="s">
        <v>12</v>
      </c>
      <c r="C142" s="1" t="s">
        <v>349</v>
      </c>
      <c r="D142" s="1" t="s">
        <v>346</v>
      </c>
      <c r="E142" s="1" t="s">
        <v>347</v>
      </c>
    </row>
    <row r="143">
      <c r="A143" s="1" t="s">
        <v>16</v>
      </c>
      <c r="C143" s="1" t="s">
        <v>350</v>
      </c>
      <c r="D143" s="1" t="s">
        <v>346</v>
      </c>
      <c r="E143" s="1" t="s">
        <v>347</v>
      </c>
    </row>
    <row r="144">
      <c r="A144" s="1" t="s">
        <v>351</v>
      </c>
    </row>
    <row r="145">
      <c r="A145" s="1" t="s">
        <v>22</v>
      </c>
      <c r="C145" s="1" t="s">
        <v>352</v>
      </c>
      <c r="D145" s="1" t="s">
        <v>353</v>
      </c>
      <c r="E145" s="1" t="s">
        <v>354</v>
      </c>
    </row>
    <row r="146">
      <c r="A146" s="1" t="s">
        <v>12</v>
      </c>
      <c r="C146" s="1" t="s">
        <v>355</v>
      </c>
      <c r="D146" s="1" t="s">
        <v>356</v>
      </c>
      <c r="E146" s="1" t="s">
        <v>357</v>
      </c>
    </row>
    <row r="147">
      <c r="A147" s="1" t="s">
        <v>16</v>
      </c>
      <c r="C147" s="1" t="s">
        <v>358</v>
      </c>
      <c r="D147" s="1" t="s">
        <v>359</v>
      </c>
      <c r="E147" s="1" t="s">
        <v>360</v>
      </c>
    </row>
    <row r="148">
      <c r="A148" s="1" t="s">
        <v>361</v>
      </c>
    </row>
    <row r="149">
      <c r="A149" s="1" t="s">
        <v>22</v>
      </c>
      <c r="C149" s="1" t="s">
        <v>362</v>
      </c>
      <c r="D149" s="1" t="s">
        <v>363</v>
      </c>
      <c r="E149" s="1" t="s">
        <v>364</v>
      </c>
    </row>
    <row r="150">
      <c r="A150" s="1" t="s">
        <v>12</v>
      </c>
      <c r="C150" s="1" t="s">
        <v>365</v>
      </c>
      <c r="D150" s="1" t="s">
        <v>366</v>
      </c>
      <c r="E150" s="1" t="s">
        <v>367</v>
      </c>
    </row>
    <row r="151">
      <c r="A151" s="1" t="s">
        <v>16</v>
      </c>
      <c r="C151" s="1" t="s">
        <v>368</v>
      </c>
      <c r="D151" s="1" t="s">
        <v>369</v>
      </c>
      <c r="E151" s="1" t="s">
        <v>370</v>
      </c>
    </row>
    <row r="152">
      <c r="A152" s="1" t="s">
        <v>371</v>
      </c>
    </row>
    <row r="153">
      <c r="A153" s="1" t="s">
        <v>22</v>
      </c>
      <c r="C153" s="1" t="s">
        <v>372</v>
      </c>
      <c r="D153" s="1" t="s">
        <v>373</v>
      </c>
      <c r="E153" s="1" t="s">
        <v>374</v>
      </c>
    </row>
    <row r="154">
      <c r="A154" s="1" t="s">
        <v>12</v>
      </c>
      <c r="C154" s="1" t="s">
        <v>375</v>
      </c>
      <c r="D154" s="1" t="s">
        <v>376</v>
      </c>
      <c r="E154" s="1" t="s">
        <v>377</v>
      </c>
    </row>
    <row r="155">
      <c r="A155" s="1" t="s">
        <v>16</v>
      </c>
      <c r="C155" s="1" t="s">
        <v>378</v>
      </c>
      <c r="D155" s="1" t="s">
        <v>379</v>
      </c>
      <c r="E155" s="1" t="s">
        <v>380</v>
      </c>
    </row>
    <row r="156">
      <c r="A156" s="1" t="s">
        <v>381</v>
      </c>
    </row>
    <row r="157">
      <c r="A157" s="1" t="s">
        <v>22</v>
      </c>
      <c r="C157" s="1" t="s">
        <v>382</v>
      </c>
      <c r="D157" s="1" t="s">
        <v>383</v>
      </c>
      <c r="E157" s="1" t="s">
        <v>384</v>
      </c>
    </row>
    <row r="158">
      <c r="A158" s="1" t="s">
        <v>12</v>
      </c>
      <c r="C158" s="1" t="s">
        <v>385</v>
      </c>
      <c r="D158" s="1" t="s">
        <v>386</v>
      </c>
      <c r="E158" s="1" t="s">
        <v>387</v>
      </c>
    </row>
    <row r="159">
      <c r="A159" s="1" t="s">
        <v>16</v>
      </c>
      <c r="C159" s="1" t="s">
        <v>388</v>
      </c>
      <c r="D159" s="1" t="s">
        <v>389</v>
      </c>
      <c r="E159" s="1" t="s">
        <v>390</v>
      </c>
    </row>
    <row r="160">
      <c r="A160" s="1" t="s">
        <v>391</v>
      </c>
    </row>
    <row r="161">
      <c r="A161" s="1" t="s">
        <v>22</v>
      </c>
      <c r="C161" s="1" t="s">
        <v>392</v>
      </c>
      <c r="D161" s="1" t="s">
        <v>393</v>
      </c>
      <c r="E161" s="1" t="s">
        <v>394</v>
      </c>
      <c r="F161" s="1" t="s">
        <v>395</v>
      </c>
    </row>
    <row r="162">
      <c r="A162" s="1" t="s">
        <v>12</v>
      </c>
    </row>
    <row r="163">
      <c r="A163" s="1" t="s">
        <v>16</v>
      </c>
    </row>
    <row r="164">
      <c r="A164" s="1" t="s">
        <v>396</v>
      </c>
    </row>
    <row r="165">
      <c r="A165" s="1" t="s">
        <v>22</v>
      </c>
      <c r="C165" s="1" t="s">
        <v>397</v>
      </c>
      <c r="D165" s="1" t="s">
        <v>398</v>
      </c>
      <c r="E165" s="1" t="s">
        <v>399</v>
      </c>
    </row>
    <row r="166">
      <c r="A166" s="1" t="s">
        <v>12</v>
      </c>
      <c r="C166" s="1" t="s">
        <v>400</v>
      </c>
      <c r="D166" s="1" t="s">
        <v>401</v>
      </c>
      <c r="E166" s="1" t="s">
        <v>402</v>
      </c>
    </row>
    <row r="167">
      <c r="A167" s="1" t="s">
        <v>16</v>
      </c>
      <c r="C167" s="1" t="s">
        <v>403</v>
      </c>
      <c r="D167" s="1" t="s">
        <v>404</v>
      </c>
      <c r="E167" s="1" t="s">
        <v>405</v>
      </c>
    </row>
    <row r="175">
      <c r="A175" s="1" t="s">
        <v>406</v>
      </c>
      <c r="E175" s="1" t="s">
        <v>407</v>
      </c>
      <c r="G175" s="1" t="s">
        <v>408</v>
      </c>
    </row>
    <row r="177">
      <c r="A177" s="1" t="s">
        <v>409</v>
      </c>
    </row>
    <row r="178">
      <c r="A178" s="1" t="s">
        <v>410</v>
      </c>
    </row>
    <row r="179">
      <c r="A179" s="1" t="s">
        <v>411</v>
      </c>
      <c r="G179" s="1" t="s">
        <v>412</v>
      </c>
    </row>
    <row r="180">
      <c r="G180" s="1" t="s">
        <v>413</v>
      </c>
    </row>
    <row r="181">
      <c r="A181" s="1" t="s">
        <v>411</v>
      </c>
      <c r="G181" s="1" t="s">
        <v>414</v>
      </c>
    </row>
    <row r="183">
      <c r="A183" s="1" t="s">
        <v>415</v>
      </c>
      <c r="E183" s="1" t="s">
        <v>416</v>
      </c>
    </row>
    <row r="184">
      <c r="A184" s="1" t="s">
        <v>417</v>
      </c>
      <c r="C184" s="1" t="s">
        <v>418</v>
      </c>
      <c r="E184" s="1" t="s">
        <v>419</v>
      </c>
      <c r="F184" s="1" t="s">
        <v>22</v>
      </c>
      <c r="G184" s="1" t="s">
        <v>420</v>
      </c>
    </row>
    <row r="185">
      <c r="A185" s="1" t="s">
        <v>421</v>
      </c>
      <c r="C185" s="1" t="s">
        <v>422</v>
      </c>
      <c r="E185" s="1" t="s">
        <v>423</v>
      </c>
      <c r="F185" s="1" t="s">
        <v>16</v>
      </c>
    </row>
    <row r="186">
      <c r="A186" s="1" t="s">
        <v>424</v>
      </c>
      <c r="C186" s="1" t="s">
        <v>425</v>
      </c>
      <c r="E186" s="1" t="s">
        <v>426</v>
      </c>
      <c r="F186" s="1" t="s">
        <v>12</v>
      </c>
    </row>
    <row r="187">
      <c r="A187" s="1" t="s">
        <v>427</v>
      </c>
    </row>
    <row r="188">
      <c r="A188" s="1" t="s">
        <v>417</v>
      </c>
      <c r="C188" s="1" t="s">
        <v>428</v>
      </c>
    </row>
    <row r="189">
      <c r="A189" s="1" t="s">
        <v>429</v>
      </c>
      <c r="C189" s="1" t="s">
        <v>430</v>
      </c>
    </row>
    <row r="190">
      <c r="A190" s="1" t="s">
        <v>431</v>
      </c>
      <c r="C190" s="1" t="s">
        <v>432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F1" s="1" t="s">
        <v>3</v>
      </c>
    </row>
    <row r="2">
      <c r="A2" s="1" t="s">
        <v>54</v>
      </c>
      <c r="F2" s="1" t="s">
        <v>55</v>
      </c>
    </row>
  </sheetData>
  <drawing r:id="rId1"/>
</worksheet>
</file>